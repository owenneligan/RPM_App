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Data" sheetId="1" state="visible" r:id="rId1"/>
    <sheet name="PostcodeCoords" sheetId="2" state="hidden" r:id="rId2"/>
    <sheet name="To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"/>
  </numFmts>
  <fonts count="11">
    <font>
      <name val="Calibri"/>
      <family val="2"/>
      <color theme="1"/>
      <sz val="11"/>
      <scheme val="minor"/>
    </font>
    <font>
      <i val="1"/>
      <color rgb="00555555"/>
      <sz val="10"/>
    </font>
    <font>
      <b val="1"/>
      <color rgb="00FFFFFF"/>
      <sz val="11"/>
    </font>
    <font>
      <b val="1"/>
    </font>
    <font>
      <b val="1"/>
      <color rgb="00FFFFFF"/>
      <sz val="15"/>
    </font>
    <font>
      <b val="1"/>
      <color rgb="001B2A4A"/>
      <sz val="11"/>
    </font>
    <font>
      <b val="1"/>
      <color rgb="001B2A4A"/>
      <sz val="14"/>
    </font>
    <font>
      <b val="1"/>
      <color rgb="00444444"/>
      <sz val="10"/>
    </font>
    <font>
      <b val="1"/>
      <color rgb="00C9A84C"/>
      <sz val="26"/>
    </font>
    <font>
      <i val="1"/>
      <color rgb="00888888"/>
      <sz val="9"/>
    </font>
    <font>
      <i val="1"/>
      <color rgb="00B0BEC5"/>
      <sz val="8"/>
    </font>
  </fonts>
  <fills count="5">
    <fill>
      <patternFill/>
    </fill>
    <fill>
      <patternFill patternType="gray125"/>
    </fill>
    <fill>
      <patternFill patternType="solid">
        <fgColor rgb="00ECEFF1"/>
      </patternFill>
    </fill>
    <fill>
      <patternFill patternType="solid">
        <fgColor rgb="001B2A4A"/>
      </patternFill>
    </fill>
    <fill>
      <patternFill patternType="solid">
        <fgColor rgb="00FFFDE7"/>
      </patternFill>
    </fill>
  </fills>
  <borders count="3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  <border>
      <bottom style="medium">
        <color rgb="00C9A84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0" applyAlignment="1" pivotButton="0" quotePrefix="0" xfId="0">
      <alignment vertical="center"/>
    </xf>
    <xf numFmtId="164" fontId="8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blData" displayName="tblData" ref="A2:C20" headerRowCount="1">
  <autoFilter ref="A2:C20"/>
  <tableColumns count="3">
    <tableColumn id="1" name="Postcode"/>
    <tableColumn id="2" name="Bedrooms"/>
    <tableColumn id="3" name="CSI_Value"/>
  </tableColumns>
  <tableStyleInfo name="TableStyleMedium2" showRowStripes="1"/>
</table>
</file>

<file path=xl/tables/table2.xml><?xml version="1.0" encoding="utf-8"?>
<table xmlns="http://schemas.openxmlformats.org/spreadsheetml/2006/main" id="2" name="tblPostcodeCoords" displayName="tblPostcodeCoords" ref="A1:C124" headerRowCount="1">
  <autoFilter ref="A1:C124"/>
  <tableColumns count="3">
    <tableColumn id="1" name="Postcode"/>
    <tableColumn id="2" name="Lat"/>
    <tableColumn id="3" name="Lon"/>
  </tableColumns>
  <tableStyleInfo name="TableStyleLight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C20"/>
  <sheetViews>
    <sheetView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 ht="18" customHeight="1">
      <c r="A1" s="1" t="inlineStr">
        <is>
          <t>PASTE YOUR DATA BELOW starting at row 3.  Columns: Postcode | Bedrooms | CSI_Value.  Formulas on the Tool sheet update instantly — no refresh needed.</t>
        </is>
      </c>
    </row>
    <row r="2" ht="22" customHeight="1">
      <c r="A2" s="2" t="inlineStr">
        <is>
          <t>Postcode</t>
        </is>
      </c>
      <c r="B2" s="2" t="inlineStr">
        <is>
          <t>Bedrooms</t>
        </is>
      </c>
      <c r="C2" s="2" t="inlineStr">
        <is>
          <t>CSI_Value</t>
        </is>
      </c>
    </row>
    <row r="3">
      <c r="A3" t="inlineStr">
        <is>
          <t>SE3</t>
        </is>
      </c>
      <c r="B3" t="n">
        <v>3</v>
      </c>
      <c r="C3" s="3" t="n">
        <v>125000</v>
      </c>
    </row>
    <row r="4">
      <c r="A4" t="inlineStr">
        <is>
          <t>SE3</t>
        </is>
      </c>
      <c r="B4" t="n">
        <v>4</v>
      </c>
      <c r="C4" s="3" t="n">
        <v>175000</v>
      </c>
    </row>
    <row r="5">
      <c r="A5" t="inlineStr">
        <is>
          <t>SE3</t>
        </is>
      </c>
      <c r="B5" t="n">
        <v>3</v>
      </c>
      <c r="C5" s="3" t="n">
        <v>110000</v>
      </c>
    </row>
    <row r="6">
      <c r="A6" t="inlineStr">
        <is>
          <t>SE3</t>
        </is>
      </c>
      <c r="B6" t="n">
        <v>5</v>
      </c>
      <c r="C6" s="3" t="n">
        <v>220000</v>
      </c>
    </row>
    <row r="7">
      <c r="A7" t="inlineStr">
        <is>
          <t>SW1</t>
        </is>
      </c>
      <c r="B7" t="n">
        <v>5</v>
      </c>
      <c r="C7" s="3" t="n">
        <v>350000</v>
      </c>
    </row>
    <row r="8">
      <c r="A8" t="inlineStr">
        <is>
          <t>SW1</t>
        </is>
      </c>
      <c r="B8" t="n">
        <v>4</v>
      </c>
      <c r="C8" s="3" t="n">
        <v>280000</v>
      </c>
    </row>
    <row r="9">
      <c r="A9" t="inlineStr">
        <is>
          <t>SW1</t>
        </is>
      </c>
      <c r="B9" t="n">
        <v>5</v>
      </c>
      <c r="C9" s="3" t="n">
        <v>320000</v>
      </c>
    </row>
    <row r="10">
      <c r="A10" t="inlineStr">
        <is>
          <t>SW1</t>
        </is>
      </c>
      <c r="B10" t="n">
        <v>6</v>
      </c>
      <c r="C10" s="3" t="n">
        <v>480000</v>
      </c>
    </row>
    <row r="11">
      <c r="A11" t="inlineStr">
        <is>
          <t>E1</t>
        </is>
      </c>
      <c r="B11" t="n">
        <v>2</v>
      </c>
      <c r="C11" s="3" t="n">
        <v>85000</v>
      </c>
    </row>
    <row r="12">
      <c r="A12" t="inlineStr">
        <is>
          <t>E1</t>
        </is>
      </c>
      <c r="B12" t="n">
        <v>2</v>
      </c>
      <c r="C12" s="3" t="n">
        <v>92000</v>
      </c>
    </row>
    <row r="13">
      <c r="A13" t="inlineStr">
        <is>
          <t>E1</t>
        </is>
      </c>
      <c r="B13" t="n">
        <v>3</v>
      </c>
      <c r="C13" s="3" t="n">
        <v>130000</v>
      </c>
    </row>
    <row r="14">
      <c r="A14" t="inlineStr">
        <is>
          <t>N1</t>
        </is>
      </c>
      <c r="B14" t="n">
        <v>3</v>
      </c>
      <c r="C14" s="3" t="n">
        <v>145000</v>
      </c>
    </row>
    <row r="15">
      <c r="A15" t="inlineStr">
        <is>
          <t>N1</t>
        </is>
      </c>
      <c r="B15" t="n">
        <v>4</v>
      </c>
      <c r="C15" s="3" t="n">
        <v>195000</v>
      </c>
    </row>
    <row r="16">
      <c r="A16" t="inlineStr">
        <is>
          <t>M1</t>
        </is>
      </c>
      <c r="B16" t="n">
        <v>2</v>
      </c>
      <c r="C16" s="3" t="n">
        <v>65000</v>
      </c>
    </row>
    <row r="17">
      <c r="A17" t="inlineStr">
        <is>
          <t>M1</t>
        </is>
      </c>
      <c r="B17" t="n">
        <v>3</v>
      </c>
      <c r="C17" s="3" t="n">
        <v>90000</v>
      </c>
    </row>
    <row r="18">
      <c r="A18" t="inlineStr">
        <is>
          <t>LS1</t>
        </is>
      </c>
      <c r="B18" t="n">
        <v>2</v>
      </c>
      <c r="C18" s="3" t="n">
        <v>60000</v>
      </c>
    </row>
    <row r="19">
      <c r="A19" t="inlineStr">
        <is>
          <t>LS1</t>
        </is>
      </c>
      <c r="B19" t="n">
        <v>3</v>
      </c>
      <c r="C19" s="3" t="n">
        <v>85000</v>
      </c>
    </row>
    <row r="20">
      <c r="A20" t="inlineStr">
        <is>
          <t>LS1</t>
        </is>
      </c>
      <c r="B20" t="n">
        <v>4</v>
      </c>
      <c r="C20" s="3" t="n">
        <v>115000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tabSelected="0" workbookViewId="0">
      <selection activeCell="A1" sqref="A1"/>
    </sheetView>
  </sheetViews>
  <sheetFormatPr baseColWidth="8" defaultRowHeight="15"/>
  <sheetData>
    <row r="1">
      <c r="A1" s="4" t="inlineStr">
        <is>
          <t>Postcode</t>
        </is>
      </c>
      <c r="B1" s="4" t="inlineStr">
        <is>
          <t>Lat</t>
        </is>
      </c>
      <c r="C1" s="4" t="inlineStr">
        <is>
          <t>Lon</t>
        </is>
      </c>
    </row>
    <row r="2">
      <c r="A2" t="inlineStr">
        <is>
          <t>AB</t>
        </is>
      </c>
      <c r="B2" t="n">
        <v>57.1497</v>
      </c>
      <c r="C2" t="n">
        <v>-2.0943</v>
      </c>
    </row>
    <row r="3">
      <c r="A3" t="inlineStr">
        <is>
          <t>AL</t>
        </is>
      </c>
      <c r="B3" t="n">
        <v>51.752</v>
      </c>
      <c r="C3" t="n">
        <v>-0.336</v>
      </c>
    </row>
    <row r="4">
      <c r="A4" t="inlineStr">
        <is>
          <t>B</t>
        </is>
      </c>
      <c r="B4" t="n">
        <v>52.4862</v>
      </c>
      <c r="C4" t="n">
        <v>-1.8904</v>
      </c>
    </row>
    <row r="5">
      <c r="A5" t="inlineStr">
        <is>
          <t>BA</t>
        </is>
      </c>
      <c r="B5" t="n">
        <v>51.3758</v>
      </c>
      <c r="C5" t="n">
        <v>-2.3599</v>
      </c>
    </row>
    <row r="6">
      <c r="A6" t="inlineStr">
        <is>
          <t>BB</t>
        </is>
      </c>
      <c r="B6" t="n">
        <v>53.75</v>
      </c>
      <c r="C6" t="n">
        <v>-2.48</v>
      </c>
    </row>
    <row r="7">
      <c r="A7" t="inlineStr">
        <is>
          <t>BD</t>
        </is>
      </c>
      <c r="B7" t="n">
        <v>53.796</v>
      </c>
      <c r="C7" t="n">
        <v>-1.7594</v>
      </c>
    </row>
    <row r="8">
      <c r="A8" t="inlineStr">
        <is>
          <t>BH</t>
        </is>
      </c>
      <c r="B8" t="n">
        <v>50.7209</v>
      </c>
      <c r="C8" t="n">
        <v>-1.8945</v>
      </c>
    </row>
    <row r="9">
      <c r="A9" t="inlineStr">
        <is>
          <t>BL</t>
        </is>
      </c>
      <c r="B9" t="n">
        <v>53.5784</v>
      </c>
      <c r="C9" t="n">
        <v>-2.4282</v>
      </c>
    </row>
    <row r="10">
      <c r="A10" t="inlineStr">
        <is>
          <t>BN</t>
        </is>
      </c>
      <c r="B10" t="n">
        <v>50.8225</v>
      </c>
      <c r="C10" t="n">
        <v>-0.1372</v>
      </c>
    </row>
    <row r="11">
      <c r="A11" t="inlineStr">
        <is>
          <t>BR</t>
        </is>
      </c>
      <c r="B11" t="n">
        <v>51.412</v>
      </c>
      <c r="C11" t="n">
        <v>0.0198</v>
      </c>
    </row>
    <row r="12">
      <c r="A12" t="inlineStr">
        <is>
          <t>BS</t>
        </is>
      </c>
      <c r="B12" t="n">
        <v>51.4545</v>
      </c>
      <c r="C12" t="n">
        <v>-2.5879</v>
      </c>
    </row>
    <row r="13">
      <c r="A13" t="inlineStr">
        <is>
          <t>BT</t>
        </is>
      </c>
      <c r="B13" t="n">
        <v>54.5973</v>
      </c>
      <c r="C13" t="n">
        <v>-5.9301</v>
      </c>
    </row>
    <row r="14">
      <c r="A14" t="inlineStr">
        <is>
          <t>CA</t>
        </is>
      </c>
      <c r="B14" t="n">
        <v>54.8951</v>
      </c>
      <c r="C14" t="n">
        <v>-2.9382</v>
      </c>
    </row>
    <row r="15">
      <c r="A15" t="inlineStr">
        <is>
          <t>CB</t>
        </is>
      </c>
      <c r="B15" t="n">
        <v>52.2053</v>
      </c>
      <c r="C15" t="n">
        <v>0.1218</v>
      </c>
    </row>
    <row r="16">
      <c r="A16" t="inlineStr">
        <is>
          <t>CF</t>
        </is>
      </c>
      <c r="B16" t="n">
        <v>51.4816</v>
      </c>
      <c r="C16" t="n">
        <v>-3.1791</v>
      </c>
    </row>
    <row r="17">
      <c r="A17" t="inlineStr">
        <is>
          <t>CH</t>
        </is>
      </c>
      <c r="B17" t="n">
        <v>53.191</v>
      </c>
      <c r="C17" t="n">
        <v>-2.891</v>
      </c>
    </row>
    <row r="18">
      <c r="A18" t="inlineStr">
        <is>
          <t>CM</t>
        </is>
      </c>
      <c r="B18" t="n">
        <v>51.7356</v>
      </c>
      <c r="C18" t="n">
        <v>0.4685</v>
      </c>
    </row>
    <row r="19">
      <c r="A19" t="inlineStr">
        <is>
          <t>CO</t>
        </is>
      </c>
      <c r="B19" t="n">
        <v>51.8959</v>
      </c>
      <c r="C19" t="n">
        <v>0.8919</v>
      </c>
    </row>
    <row r="20">
      <c r="A20" t="inlineStr">
        <is>
          <t>CR</t>
        </is>
      </c>
      <c r="B20" t="n">
        <v>51.3714</v>
      </c>
      <c r="C20" t="n">
        <v>-0.0977</v>
      </c>
    </row>
    <row r="21">
      <c r="A21" t="inlineStr">
        <is>
          <t>CT</t>
        </is>
      </c>
      <c r="B21" t="n">
        <v>51.2802</v>
      </c>
      <c r="C21" t="n">
        <v>1.0789</v>
      </c>
    </row>
    <row r="22">
      <c r="A22" t="inlineStr">
        <is>
          <t>CV</t>
        </is>
      </c>
      <c r="B22" t="n">
        <v>52.4068</v>
      </c>
      <c r="C22" t="n">
        <v>-1.5197</v>
      </c>
    </row>
    <row r="23">
      <c r="A23" t="inlineStr">
        <is>
          <t>CW</t>
        </is>
      </c>
      <c r="B23" t="n">
        <v>53.0979</v>
      </c>
      <c r="C23" t="n">
        <v>-2.4413</v>
      </c>
    </row>
    <row r="24">
      <c r="A24" t="inlineStr">
        <is>
          <t>DA</t>
        </is>
      </c>
      <c r="B24" t="n">
        <v>51.4463</v>
      </c>
      <c r="C24" t="n">
        <v>0.218</v>
      </c>
    </row>
    <row r="25">
      <c r="A25" t="inlineStr">
        <is>
          <t>DD</t>
        </is>
      </c>
      <c r="B25" t="n">
        <v>56.462</v>
      </c>
      <c r="C25" t="n">
        <v>-2.9707</v>
      </c>
    </row>
    <row r="26">
      <c r="A26" t="inlineStr">
        <is>
          <t>DE</t>
        </is>
      </c>
      <c r="B26" t="n">
        <v>52.9225</v>
      </c>
      <c r="C26" t="n">
        <v>-1.4746</v>
      </c>
    </row>
    <row r="27">
      <c r="A27" t="inlineStr">
        <is>
          <t>DG</t>
        </is>
      </c>
      <c r="B27" t="n">
        <v>55.0708</v>
      </c>
      <c r="C27" t="n">
        <v>-3.6059</v>
      </c>
    </row>
    <row r="28">
      <c r="A28" t="inlineStr">
        <is>
          <t>DH</t>
        </is>
      </c>
      <c r="B28" t="n">
        <v>54.7786</v>
      </c>
      <c r="C28" t="n">
        <v>-1.575</v>
      </c>
    </row>
    <row r="29">
      <c r="A29" t="inlineStr">
        <is>
          <t>DL</t>
        </is>
      </c>
      <c r="B29" t="n">
        <v>54.527</v>
      </c>
      <c r="C29" t="n">
        <v>-1.56</v>
      </c>
    </row>
    <row r="30">
      <c r="A30" t="inlineStr">
        <is>
          <t>DN</t>
        </is>
      </c>
      <c r="B30" t="n">
        <v>53.5228</v>
      </c>
      <c r="C30" t="n">
        <v>-1.1285</v>
      </c>
    </row>
    <row r="31">
      <c r="A31" t="inlineStr">
        <is>
          <t>DT</t>
        </is>
      </c>
      <c r="B31" t="n">
        <v>50.7154</v>
      </c>
      <c r="C31" t="n">
        <v>-2.441</v>
      </c>
    </row>
    <row r="32">
      <c r="A32" t="inlineStr">
        <is>
          <t>DY</t>
        </is>
      </c>
      <c r="B32" t="n">
        <v>52.5117</v>
      </c>
      <c r="C32" t="n">
        <v>-2.0882</v>
      </c>
    </row>
    <row r="33">
      <c r="A33" t="inlineStr">
        <is>
          <t>E</t>
        </is>
      </c>
      <c r="B33" t="n">
        <v>51.52</v>
      </c>
      <c r="C33" t="n">
        <v>-0.04</v>
      </c>
    </row>
    <row r="34">
      <c r="A34" t="inlineStr">
        <is>
          <t>EC</t>
        </is>
      </c>
      <c r="B34" t="n">
        <v>51.5175</v>
      </c>
      <c r="C34" t="n">
        <v>-0.1021</v>
      </c>
    </row>
    <row r="35">
      <c r="A35" t="inlineStr">
        <is>
          <t>EH</t>
        </is>
      </c>
      <c r="B35" t="n">
        <v>55.9533</v>
      </c>
      <c r="C35" t="n">
        <v>-3.1883</v>
      </c>
    </row>
    <row r="36">
      <c r="A36" t="inlineStr">
        <is>
          <t>EN</t>
        </is>
      </c>
      <c r="B36" t="n">
        <v>51.6523</v>
      </c>
      <c r="C36" t="n">
        <v>-0.0808</v>
      </c>
    </row>
    <row r="37">
      <c r="A37" t="inlineStr">
        <is>
          <t>EX</t>
        </is>
      </c>
      <c r="B37" t="n">
        <v>50.7184</v>
      </c>
      <c r="C37" t="n">
        <v>-3.5339</v>
      </c>
    </row>
    <row r="38">
      <c r="A38" t="inlineStr">
        <is>
          <t>FK</t>
        </is>
      </c>
      <c r="B38" t="n">
        <v>56.0011</v>
      </c>
      <c r="C38" t="n">
        <v>-3.7837</v>
      </c>
    </row>
    <row r="39">
      <c r="A39" t="inlineStr">
        <is>
          <t>FY</t>
        </is>
      </c>
      <c r="B39" t="n">
        <v>53.8175</v>
      </c>
      <c r="C39" t="n">
        <v>-3.0357</v>
      </c>
    </row>
    <row r="40">
      <c r="A40" t="inlineStr">
        <is>
          <t>G</t>
        </is>
      </c>
      <c r="B40" t="n">
        <v>55.8642</v>
      </c>
      <c r="C40" t="n">
        <v>-4.2518</v>
      </c>
    </row>
    <row r="41">
      <c r="A41" t="inlineStr">
        <is>
          <t>GL</t>
        </is>
      </c>
      <c r="B41" t="n">
        <v>51.8642</v>
      </c>
      <c r="C41" t="n">
        <v>-2.238</v>
      </c>
    </row>
    <row r="42">
      <c r="A42" t="inlineStr">
        <is>
          <t>GU</t>
        </is>
      </c>
      <c r="B42" t="n">
        <v>51.2362</v>
      </c>
      <c r="C42" t="n">
        <v>-0.5704</v>
      </c>
    </row>
    <row r="43">
      <c r="A43" t="inlineStr">
        <is>
          <t>GY</t>
        </is>
      </c>
      <c r="B43" t="n">
        <v>49.4657</v>
      </c>
      <c r="C43" t="n">
        <v>-2.5853</v>
      </c>
    </row>
    <row r="44">
      <c r="A44" t="inlineStr">
        <is>
          <t>HA</t>
        </is>
      </c>
      <c r="B44" t="n">
        <v>51.5793</v>
      </c>
      <c r="C44" t="n">
        <v>-0.3376</v>
      </c>
    </row>
    <row r="45">
      <c r="A45" t="inlineStr">
        <is>
          <t>HD</t>
        </is>
      </c>
      <c r="B45" t="n">
        <v>53.6458</v>
      </c>
      <c r="C45" t="n">
        <v>-1.785</v>
      </c>
    </row>
    <row r="46">
      <c r="A46" t="inlineStr">
        <is>
          <t>HG</t>
        </is>
      </c>
      <c r="B46" t="n">
        <v>53.9919</v>
      </c>
      <c r="C46" t="n">
        <v>-1.5378</v>
      </c>
    </row>
    <row r="47">
      <c r="A47" t="inlineStr">
        <is>
          <t>HP</t>
        </is>
      </c>
      <c r="B47" t="n">
        <v>51.7526</v>
      </c>
      <c r="C47" t="n">
        <v>-0.4497</v>
      </c>
    </row>
    <row r="48">
      <c r="A48" t="inlineStr">
        <is>
          <t>HR</t>
        </is>
      </c>
      <c r="B48" t="n">
        <v>52.0565</v>
      </c>
      <c r="C48" t="n">
        <v>-2.716</v>
      </c>
    </row>
    <row r="49">
      <c r="A49" t="inlineStr">
        <is>
          <t>HS</t>
        </is>
      </c>
      <c r="B49" t="n">
        <v>57.85</v>
      </c>
      <c r="C49" t="n">
        <v>-6.8</v>
      </c>
    </row>
    <row r="50">
      <c r="A50" t="inlineStr">
        <is>
          <t>HU</t>
        </is>
      </c>
      <c r="B50" t="n">
        <v>53.7457</v>
      </c>
      <c r="C50" t="n">
        <v>-0.3367</v>
      </c>
    </row>
    <row r="51">
      <c r="A51" t="inlineStr">
        <is>
          <t>HX</t>
        </is>
      </c>
      <c r="B51" t="n">
        <v>53.7213</v>
      </c>
      <c r="C51" t="n">
        <v>-1.8659</v>
      </c>
    </row>
    <row r="52">
      <c r="A52" t="inlineStr">
        <is>
          <t>IG</t>
        </is>
      </c>
      <c r="B52" t="n">
        <v>51.559</v>
      </c>
      <c r="C52" t="n">
        <v>0.082</v>
      </c>
    </row>
    <row r="53">
      <c r="A53" t="inlineStr">
        <is>
          <t>IP</t>
        </is>
      </c>
      <c r="B53" t="n">
        <v>52.0567</v>
      </c>
      <c r="C53" t="n">
        <v>1.1482</v>
      </c>
    </row>
    <row r="54">
      <c r="A54" t="inlineStr">
        <is>
          <t>IV</t>
        </is>
      </c>
      <c r="B54" t="n">
        <v>57.4778</v>
      </c>
      <c r="C54" t="n">
        <v>-4.2247</v>
      </c>
    </row>
    <row r="55">
      <c r="A55" t="inlineStr">
        <is>
          <t>JE</t>
        </is>
      </c>
      <c r="B55" t="n">
        <v>49.1859</v>
      </c>
      <c r="C55" t="n">
        <v>-2.11</v>
      </c>
    </row>
    <row r="56">
      <c r="A56" t="inlineStr">
        <is>
          <t>KA</t>
        </is>
      </c>
      <c r="B56" t="n">
        <v>55.612</v>
      </c>
      <c r="C56" t="n">
        <v>-4.496</v>
      </c>
    </row>
    <row r="57">
      <c r="A57" t="inlineStr">
        <is>
          <t>KT</t>
        </is>
      </c>
      <c r="B57" t="n">
        <v>51.4107</v>
      </c>
      <c r="C57" t="n">
        <v>-0.2987</v>
      </c>
    </row>
    <row r="58">
      <c r="A58" t="inlineStr">
        <is>
          <t>KW</t>
        </is>
      </c>
      <c r="B58" t="n">
        <v>58.4399</v>
      </c>
      <c r="C58" t="n">
        <v>-3.0993</v>
      </c>
    </row>
    <row r="59">
      <c r="A59" t="inlineStr">
        <is>
          <t>KY</t>
        </is>
      </c>
      <c r="B59" t="n">
        <v>56.1132</v>
      </c>
      <c r="C59" t="n">
        <v>-3.1561</v>
      </c>
    </row>
    <row r="60">
      <c r="A60" t="inlineStr">
        <is>
          <t>L</t>
        </is>
      </c>
      <c r="B60" t="n">
        <v>53.4084</v>
      </c>
      <c r="C60" t="n">
        <v>-2.9916</v>
      </c>
    </row>
    <row r="61">
      <c r="A61" t="inlineStr">
        <is>
          <t>LA</t>
        </is>
      </c>
      <c r="B61" t="n">
        <v>54.0466</v>
      </c>
      <c r="C61" t="n">
        <v>-2.8007</v>
      </c>
    </row>
    <row r="62">
      <c r="A62" t="inlineStr">
        <is>
          <t>LD</t>
        </is>
      </c>
      <c r="B62" t="n">
        <v>52.243</v>
      </c>
      <c r="C62" t="n">
        <v>-3.38</v>
      </c>
    </row>
    <row r="63">
      <c r="A63" t="inlineStr">
        <is>
          <t>LE</t>
        </is>
      </c>
      <c r="B63" t="n">
        <v>52.6369</v>
      </c>
      <c r="C63" t="n">
        <v>-1.1398</v>
      </c>
    </row>
    <row r="64">
      <c r="A64" t="inlineStr">
        <is>
          <t>LL</t>
        </is>
      </c>
      <c r="B64" t="n">
        <v>53.3244</v>
      </c>
      <c r="C64" t="n">
        <v>-3.8263</v>
      </c>
    </row>
    <row r="65">
      <c r="A65" t="inlineStr">
        <is>
          <t>LN</t>
        </is>
      </c>
      <c r="B65" t="n">
        <v>53.2307</v>
      </c>
      <c r="C65" t="n">
        <v>-0.5406</v>
      </c>
    </row>
    <row r="66">
      <c r="A66" t="inlineStr">
        <is>
          <t>LS</t>
        </is>
      </c>
      <c r="B66" t="n">
        <v>53.8008</v>
      </c>
      <c r="C66" t="n">
        <v>-1.5491</v>
      </c>
    </row>
    <row r="67">
      <c r="A67" t="inlineStr">
        <is>
          <t>LU</t>
        </is>
      </c>
      <c r="B67" t="n">
        <v>51.8787</v>
      </c>
      <c r="C67" t="n">
        <v>-0.42</v>
      </c>
    </row>
    <row r="68">
      <c r="A68" t="inlineStr">
        <is>
          <t>M</t>
        </is>
      </c>
      <c r="B68" t="n">
        <v>53.4808</v>
      </c>
      <c r="C68" t="n">
        <v>-2.2426</v>
      </c>
    </row>
    <row r="69">
      <c r="A69" t="inlineStr">
        <is>
          <t>ME</t>
        </is>
      </c>
      <c r="B69" t="n">
        <v>51.405</v>
      </c>
      <c r="C69" t="n">
        <v>0.519</v>
      </c>
    </row>
    <row r="70">
      <c r="A70" t="inlineStr">
        <is>
          <t>MK</t>
        </is>
      </c>
      <c r="B70" t="n">
        <v>52.0406</v>
      </c>
      <c r="C70" t="n">
        <v>-0.7594</v>
      </c>
    </row>
    <row r="71">
      <c r="A71" t="inlineStr">
        <is>
          <t>ML</t>
        </is>
      </c>
      <c r="B71" t="n">
        <v>55.7817</v>
      </c>
      <c r="C71" t="n">
        <v>-3.9844</v>
      </c>
    </row>
    <row r="72">
      <c r="A72" t="inlineStr">
        <is>
          <t>N</t>
        </is>
      </c>
      <c r="B72" t="n">
        <v>51.58</v>
      </c>
      <c r="C72" t="n">
        <v>-0.11</v>
      </c>
    </row>
    <row r="73">
      <c r="A73" t="inlineStr">
        <is>
          <t>NE</t>
        </is>
      </c>
      <c r="B73" t="n">
        <v>54.9783</v>
      </c>
      <c r="C73" t="n">
        <v>-1.6178</v>
      </c>
    </row>
    <row r="74">
      <c r="A74" t="inlineStr">
        <is>
          <t>NG</t>
        </is>
      </c>
      <c r="B74" t="n">
        <v>52.9548</v>
      </c>
      <c r="C74" t="n">
        <v>-1.1581</v>
      </c>
    </row>
    <row r="75">
      <c r="A75" t="inlineStr">
        <is>
          <t>NN</t>
        </is>
      </c>
      <c r="B75" t="n">
        <v>52.2405</v>
      </c>
      <c r="C75" t="n">
        <v>-0.9026999999999999</v>
      </c>
    </row>
    <row r="76">
      <c r="A76" t="inlineStr">
        <is>
          <t>NP</t>
        </is>
      </c>
      <c r="B76" t="n">
        <v>51.5882</v>
      </c>
      <c r="C76" t="n">
        <v>-2.9977</v>
      </c>
    </row>
    <row r="77">
      <c r="A77" t="inlineStr">
        <is>
          <t>NR</t>
        </is>
      </c>
      <c r="B77" t="n">
        <v>52.6309</v>
      </c>
      <c r="C77" t="n">
        <v>1.2974</v>
      </c>
    </row>
    <row r="78">
      <c r="A78" t="inlineStr">
        <is>
          <t>NW</t>
        </is>
      </c>
      <c r="B78" t="n">
        <v>51.55</v>
      </c>
      <c r="C78" t="n">
        <v>-0.17</v>
      </c>
    </row>
    <row r="79">
      <c r="A79" t="inlineStr">
        <is>
          <t>OL</t>
        </is>
      </c>
      <c r="B79" t="n">
        <v>53.54</v>
      </c>
      <c r="C79" t="n">
        <v>-2.115</v>
      </c>
    </row>
    <row r="80">
      <c r="A80" t="inlineStr">
        <is>
          <t>OX</t>
        </is>
      </c>
      <c r="B80" t="n">
        <v>51.752</v>
      </c>
      <c r="C80" t="n">
        <v>-1.2577</v>
      </c>
    </row>
    <row r="81">
      <c r="A81" t="inlineStr">
        <is>
          <t>PA</t>
        </is>
      </c>
      <c r="B81" t="n">
        <v>55.8456</v>
      </c>
      <c r="C81" t="n">
        <v>-4.4239</v>
      </c>
    </row>
    <row r="82">
      <c r="A82" t="inlineStr">
        <is>
          <t>PE</t>
        </is>
      </c>
      <c r="B82" t="n">
        <v>52.5695</v>
      </c>
      <c r="C82" t="n">
        <v>-0.2405</v>
      </c>
    </row>
    <row r="83">
      <c r="A83" t="inlineStr">
        <is>
          <t>PH</t>
        </is>
      </c>
      <c r="B83" t="n">
        <v>56.395</v>
      </c>
      <c r="C83" t="n">
        <v>-3.4713</v>
      </c>
    </row>
    <row r="84">
      <c r="A84" t="inlineStr">
        <is>
          <t>PL</t>
        </is>
      </c>
      <c r="B84" t="n">
        <v>50.3755</v>
      </c>
      <c r="C84" t="n">
        <v>-4.1427</v>
      </c>
    </row>
    <row r="85">
      <c r="A85" t="inlineStr">
        <is>
          <t>PO</t>
        </is>
      </c>
      <c r="B85" t="n">
        <v>50.8198</v>
      </c>
      <c r="C85" t="n">
        <v>-1.088</v>
      </c>
    </row>
    <row r="86">
      <c r="A86" t="inlineStr">
        <is>
          <t>PR</t>
        </is>
      </c>
      <c r="B86" t="n">
        <v>53.7632</v>
      </c>
      <c r="C86" t="n">
        <v>-2.7042</v>
      </c>
    </row>
    <row r="87">
      <c r="A87" t="inlineStr">
        <is>
          <t>RG</t>
        </is>
      </c>
      <c r="B87" t="n">
        <v>51.4543</v>
      </c>
      <c r="C87" t="n">
        <v>-0.9781</v>
      </c>
    </row>
    <row r="88">
      <c r="A88" t="inlineStr">
        <is>
          <t>RH</t>
        </is>
      </c>
      <c r="B88" t="n">
        <v>51.2362</v>
      </c>
      <c r="C88" t="n">
        <v>-0.1668</v>
      </c>
    </row>
    <row r="89">
      <c r="A89" t="inlineStr">
        <is>
          <t>RM</t>
        </is>
      </c>
      <c r="B89" t="n">
        <v>51.5812</v>
      </c>
      <c r="C89" t="n">
        <v>0.1837</v>
      </c>
    </row>
    <row r="90">
      <c r="A90" t="inlineStr">
        <is>
          <t>S</t>
        </is>
      </c>
      <c r="B90" t="n">
        <v>53.3811</v>
      </c>
      <c r="C90" t="n">
        <v>-1.4701</v>
      </c>
    </row>
    <row r="91">
      <c r="A91" t="inlineStr">
        <is>
          <t>SA</t>
        </is>
      </c>
      <c r="B91" t="n">
        <v>51.6214</v>
      </c>
      <c r="C91" t="n">
        <v>-3.9436</v>
      </c>
    </row>
    <row r="92">
      <c r="A92" t="inlineStr">
        <is>
          <t>SE</t>
        </is>
      </c>
      <c r="B92" t="n">
        <v>51.47</v>
      </c>
      <c r="C92" t="n">
        <v>-0.05</v>
      </c>
    </row>
    <row r="93">
      <c r="A93" t="inlineStr">
        <is>
          <t>SG</t>
        </is>
      </c>
      <c r="B93" t="n">
        <v>51.9022</v>
      </c>
      <c r="C93" t="n">
        <v>-0.2082</v>
      </c>
    </row>
    <row r="94">
      <c r="A94" t="inlineStr">
        <is>
          <t>SK</t>
        </is>
      </c>
      <c r="B94" t="n">
        <v>53.4106</v>
      </c>
      <c r="C94" t="n">
        <v>-2.1575</v>
      </c>
    </row>
    <row r="95">
      <c r="A95" t="inlineStr">
        <is>
          <t>SL</t>
        </is>
      </c>
      <c r="B95" t="n">
        <v>51.5105</v>
      </c>
      <c r="C95" t="n">
        <v>-0.595</v>
      </c>
    </row>
    <row r="96">
      <c r="A96" t="inlineStr">
        <is>
          <t>SM</t>
        </is>
      </c>
      <c r="B96" t="n">
        <v>51.3693</v>
      </c>
      <c r="C96" t="n">
        <v>-0.1908</v>
      </c>
    </row>
    <row r="97">
      <c r="A97" t="inlineStr">
        <is>
          <t>SN</t>
        </is>
      </c>
      <c r="B97" t="n">
        <v>51.5558</v>
      </c>
      <c r="C97" t="n">
        <v>-1.7797</v>
      </c>
    </row>
    <row r="98">
      <c r="A98" t="inlineStr">
        <is>
          <t>SO</t>
        </is>
      </c>
      <c r="B98" t="n">
        <v>50.9097</v>
      </c>
      <c r="C98" t="n">
        <v>-1.4044</v>
      </c>
    </row>
    <row r="99">
      <c r="A99" t="inlineStr">
        <is>
          <t>SP</t>
        </is>
      </c>
      <c r="B99" t="n">
        <v>51.068</v>
      </c>
      <c r="C99" t="n">
        <v>-1.7945</v>
      </c>
    </row>
    <row r="100">
      <c r="A100" t="inlineStr">
        <is>
          <t>SR</t>
        </is>
      </c>
      <c r="B100" t="n">
        <v>54.9069</v>
      </c>
      <c r="C100" t="n">
        <v>-1.3838</v>
      </c>
    </row>
    <row r="101">
      <c r="A101" t="inlineStr">
        <is>
          <t>SS</t>
        </is>
      </c>
      <c r="B101" t="n">
        <v>51.5404</v>
      </c>
      <c r="C101" t="n">
        <v>0.7129</v>
      </c>
    </row>
    <row r="102">
      <c r="A102" t="inlineStr">
        <is>
          <t>ST</t>
        </is>
      </c>
      <c r="B102" t="n">
        <v>53.0162</v>
      </c>
      <c r="C102" t="n">
        <v>-2.1843</v>
      </c>
    </row>
    <row r="103">
      <c r="A103" t="inlineStr">
        <is>
          <t>SW</t>
        </is>
      </c>
      <c r="B103" t="n">
        <v>51.47</v>
      </c>
      <c r="C103" t="n">
        <v>-0.14</v>
      </c>
    </row>
    <row r="104">
      <c r="A104" t="inlineStr">
        <is>
          <t>SY</t>
        </is>
      </c>
      <c r="B104" t="n">
        <v>52.708</v>
      </c>
      <c r="C104" t="n">
        <v>-2.754</v>
      </c>
    </row>
    <row r="105">
      <c r="A105" t="inlineStr">
        <is>
          <t>TA</t>
        </is>
      </c>
      <c r="B105" t="n">
        <v>51.0151</v>
      </c>
      <c r="C105" t="n">
        <v>-3.1017</v>
      </c>
    </row>
    <row r="106">
      <c r="A106" t="inlineStr">
        <is>
          <t>TD</t>
        </is>
      </c>
      <c r="B106" t="n">
        <v>55.6166</v>
      </c>
      <c r="C106" t="n">
        <v>-2.8125</v>
      </c>
    </row>
    <row r="107">
      <c r="A107" t="inlineStr">
        <is>
          <t>TF</t>
        </is>
      </c>
      <c r="B107" t="n">
        <v>52.6766</v>
      </c>
      <c r="C107" t="n">
        <v>-2.4469</v>
      </c>
    </row>
    <row r="108">
      <c r="A108" t="inlineStr">
        <is>
          <t>TN</t>
        </is>
      </c>
      <c r="B108" t="n">
        <v>51.197</v>
      </c>
      <c r="C108" t="n">
        <v>0.274</v>
      </c>
    </row>
    <row r="109">
      <c r="A109" t="inlineStr">
        <is>
          <t>TQ</t>
        </is>
      </c>
      <c r="B109" t="n">
        <v>50.4619</v>
      </c>
      <c r="C109" t="n">
        <v>-3.5252</v>
      </c>
    </row>
    <row r="110">
      <c r="A110" t="inlineStr">
        <is>
          <t>TR</t>
        </is>
      </c>
      <c r="B110" t="n">
        <v>50.2632</v>
      </c>
      <c r="C110" t="n">
        <v>-5.051</v>
      </c>
    </row>
    <row r="111">
      <c r="A111" t="inlineStr">
        <is>
          <t>TS</t>
        </is>
      </c>
      <c r="B111" t="n">
        <v>54.5705</v>
      </c>
      <c r="C111" t="n">
        <v>-1.235</v>
      </c>
    </row>
    <row r="112">
      <c r="A112" t="inlineStr">
        <is>
          <t>TW</t>
        </is>
      </c>
      <c r="B112" t="n">
        <v>51.449</v>
      </c>
      <c r="C112" t="n">
        <v>-0.335</v>
      </c>
    </row>
    <row r="113">
      <c r="A113" t="inlineStr">
        <is>
          <t>UB</t>
        </is>
      </c>
      <c r="B113" t="n">
        <v>51.5326</v>
      </c>
      <c r="C113" t="n">
        <v>-0.3776</v>
      </c>
    </row>
    <row r="114">
      <c r="A114" t="inlineStr">
        <is>
          <t>W</t>
        </is>
      </c>
      <c r="B114" t="n">
        <v>51.51</v>
      </c>
      <c r="C114" t="n">
        <v>-0.21</v>
      </c>
    </row>
    <row r="115">
      <c r="A115" t="inlineStr">
        <is>
          <t>WA</t>
        </is>
      </c>
      <c r="B115" t="n">
        <v>53.39</v>
      </c>
      <c r="C115" t="n">
        <v>-2.597</v>
      </c>
    </row>
    <row r="116">
      <c r="A116" t="inlineStr">
        <is>
          <t>WC</t>
        </is>
      </c>
      <c r="B116" t="n">
        <v>51.5177</v>
      </c>
      <c r="C116" t="n">
        <v>-0.1205</v>
      </c>
    </row>
    <row r="117">
      <c r="A117" t="inlineStr">
        <is>
          <t>WD</t>
        </is>
      </c>
      <c r="B117" t="n">
        <v>51.6565</v>
      </c>
      <c r="C117" t="n">
        <v>-0.396</v>
      </c>
    </row>
    <row r="118">
      <c r="A118" t="inlineStr">
        <is>
          <t>WF</t>
        </is>
      </c>
      <c r="B118" t="n">
        <v>53.683</v>
      </c>
      <c r="C118" t="n">
        <v>-1.4977</v>
      </c>
    </row>
    <row r="119">
      <c r="A119" t="inlineStr">
        <is>
          <t>WN</t>
        </is>
      </c>
      <c r="B119" t="n">
        <v>53.5444</v>
      </c>
      <c r="C119" t="n">
        <v>-2.6317</v>
      </c>
    </row>
    <row r="120">
      <c r="A120" t="inlineStr">
        <is>
          <t>WR</t>
        </is>
      </c>
      <c r="B120" t="n">
        <v>52.1936</v>
      </c>
      <c r="C120" t="n">
        <v>-2.222</v>
      </c>
    </row>
    <row r="121">
      <c r="A121" t="inlineStr">
        <is>
          <t>WS</t>
        </is>
      </c>
      <c r="B121" t="n">
        <v>52.5855</v>
      </c>
      <c r="C121" t="n">
        <v>-1.983</v>
      </c>
    </row>
    <row r="122">
      <c r="A122" t="inlineStr">
        <is>
          <t>WV</t>
        </is>
      </c>
      <c r="B122" t="n">
        <v>52.5862</v>
      </c>
      <c r="C122" t="n">
        <v>-2.1279</v>
      </c>
    </row>
    <row r="123">
      <c r="A123" t="inlineStr">
        <is>
          <t>YO</t>
        </is>
      </c>
      <c r="B123" t="n">
        <v>53.9591</v>
      </c>
      <c r="C123" t="n">
        <v>-1.0815</v>
      </c>
    </row>
    <row r="124">
      <c r="A124" t="inlineStr">
        <is>
          <t>ZE</t>
        </is>
      </c>
      <c r="B124" t="n">
        <v>60.1541</v>
      </c>
      <c r="C124" t="n">
        <v>-1.1454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C9A84C"/>
    <outlinePr summaryBelow="1" summaryRight="1"/>
    <pageSetUpPr/>
  </sheetPr>
  <dimension ref="B3:C22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34" customWidth="1" min="3" max="3"/>
    <col width="3" customWidth="1" min="4" max="4"/>
  </cols>
  <sheetData>
    <row r="1" ht="20" customHeight="1"/>
    <row r="2" ht="20" customHeight="1"/>
    <row r="3" ht="34" customHeight="1">
      <c r="B3" s="5" t="inlineStr">
        <is>
          <t xml:space="preserve">  Contents Sum Insured  ·  Lookup Tool</t>
        </is>
      </c>
    </row>
    <row r="4" ht="20" customHeight="1"/>
    <row r="5" ht="20" customHeight="1"/>
    <row r="6" ht="20" customHeight="1"/>
    <row r="7" ht="20" customHeight="1"/>
    <row r="8" ht="22" customHeight="1">
      <c r="B8" s="6" t="inlineStr">
        <is>
          <t>Postcode Area  (e.g. SE3, SW1A, M1)</t>
        </is>
      </c>
    </row>
    <row r="9" ht="34" customHeight="1">
      <c r="B9" s="7" t="inlineStr">
        <is>
          <t>SE3</t>
        </is>
      </c>
    </row>
    <row r="10" ht="8" customHeight="1"/>
    <row r="11" ht="22" customHeight="1">
      <c r="B11" s="6" t="inlineStr">
        <is>
          <t>Number of Bedrooms</t>
        </is>
      </c>
    </row>
    <row r="12" ht="34" customHeight="1">
      <c r="B12" s="7" t="n">
        <v>3</v>
      </c>
    </row>
    <row r="13" ht="20" customHeight="1"/>
    <row r="14" ht="14" customHeight="1">
      <c r="B14" s="8" t="n"/>
      <c r="C14" s="8" t="n"/>
    </row>
    <row r="15" ht="22" customHeight="1">
      <c r="B15" s="9" t="inlineStr">
        <is>
          <t>Average Contents Sum Insured</t>
        </is>
      </c>
    </row>
    <row r="16" ht="52" customHeight="1">
      <c r="B16" s="10">
        <f>LET(pc,UPPER(TRIM(B9)),beds,B12,exact,IFERROR(AVERAGEIFS(tblData[CSI_Value],tblData[Postcode],pc,tblData[Bedrooms],beds),0),pc_csi,IFERROR(AVERAGEIF(tblData[Postcode],pc,tblData[CSI_Value]),0),pc_beds,IFERROR(AVERAGEIF(tblData[Postcode],pc,tblData[Bedrooms]),0),tier2,IF(pc_beds&gt;0,pc_csi/pc_beds*beds,0),avail,IFERROR(UNIQUE(tblData[Postcode]),{""}),tlat,IFERROR(XLOOKUP(pc,tblPostcodeCoords[Postcode],tblPostcodeCoords[Lat],NA()),NA()),tlon,IFERROR(XLOOKUP(pc,tblPostcodeCoords[Postcode],tblPostcodeCoords[Lon],NA()),NA()),alat,XLOOKUP(avail,tblPostcodeCoords[Postcode],tblPostcodeCoords[Lat],0),alon,XLOOKUP(avail,tblPostcodeCoords[Postcode],tblPostcodeCoords[Lon],0),dists,(alat-tlat)^2+(alon-tlon)^2,nearest,IFERROR(INDEX(avail,MATCH(MIN(dists),dists,0)),""),n_exact,IFERROR(AVERAGEIFS(tblData[CSI_Value],tblData[Postcode],nearest,tblData[Bedrooms],beds),0),n_csi,IFERROR(AVERAGEIF(tblData[Postcode],nearest,tblData[CSI_Value]),0),n_beds,IFERROR(AVERAGEIF(tblData[Postcode],nearest,tblData[Bedrooms]),0),near_val,IF(n_exact&gt;0,n_exact,IF(n_beds&gt;0,n_csi/n_beds*beds,0)),IF(exact&gt;0,exact,IF(tier2&gt;0,tier2,near_val)))</f>
        <v/>
      </c>
    </row>
    <row r="17" ht="20" customHeight="1"/>
    <row r="18" ht="20" customHeight="1">
      <c r="B18" s="11">
        <f>LET(pc,UPPER(TRIM(B9)),beds,B12,cnt,IFERROR(COUNTIFS(tblData[Postcode],pc,tblData[Bedrooms],beds),0),IF(cnt&gt;0,"Based on "&amp;TEXT(cnt,"#,##0")&amp;" similar properties in your data",IF(IFERROR(COUNTIF(tblData[Postcode],pc),0)&gt;0,"No exact bedroom match — figure extrapolated from postcode average","Postcode not in dataset — figure taken from nearest geographic area")))</f>
        <v/>
      </c>
    </row>
    <row r="19" ht="20" customHeight="1"/>
    <row r="20" ht="18" customHeight="1">
      <c r="B20" s="12">
        <f>LET(pc,UPPER(TRIM(B9)),beds,B12,exact_cnt,IFERROR(COUNTIFS(tblData[Postcode],pc,tblData[Bedrooms],beds),0),pc_cnt,IFERROR(COUNTIF(tblData[Postcode],pc),0),avail,IFERROR(UNIQUE(tblData[Postcode]),{""}),tlat,IFERROR(XLOOKUP(pc,tblPostcodeCoords[Postcode],tblPostcodeCoords[Lat],NA()),NA()),tlon,IFERROR(XLOOKUP(pc,tblPostcodeCoords[Postcode],tblPostcodeCoords[Lon],NA()),NA()),alat,XLOOKUP(avail,tblPostcodeCoords[Postcode],tblPostcodeCoords[Lat],0),alon,XLOOKUP(avail,tblPostcodeCoords[Postcode],tblPostcodeCoords[Lon],0),dists,(alat-tlat)^2+(alon-tlon)^2,nearest,IFERROR(INDEX(avail,MATCH(MIN(dists),dists,0)),""),IF(exact_cnt&gt;0,"✓ Exact match",IF(pc_cnt&gt;0,"~ Extrapolated from postcode area average",IF(nearest&lt;&gt;"","⚠ Using nearest area: "&amp;nearest,"⚠ No data available"))))</f>
        <v/>
      </c>
    </row>
    <row r="21" ht="20" customHeight="1"/>
    <row r="22" ht="20" customHeight="1">
      <c r="B22" s="13" t="inlineStr">
        <is>
          <t>For internal use only  ·  Data sourced from the Data sheet</t>
        </is>
      </c>
    </row>
    <row r="23" ht="20" customHeight="1"/>
    <row r="24" ht="20" customHeight="1"/>
    <row r="25" ht="20" customHeight="1"/>
  </sheetData>
  <mergeCells count="5">
    <mergeCell ref="B16:C16"/>
    <mergeCell ref="B3:C3"/>
    <mergeCell ref="B20:C20"/>
    <mergeCell ref="B22:C22"/>
    <mergeCell ref="B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2026-07-09T07:22:01Z</dcterms:created>
  <dcterms:modified xsi:type="dcterms:W3CDTF">2026-07-09T07:22:01Z</dcterms:modified>
</cp:coreProperties>
</file>